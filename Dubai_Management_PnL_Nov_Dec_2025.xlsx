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Summary" sheetId="1" state="visible" r:id="rId1"/>
    <sheet xmlns:r="http://schemas.openxmlformats.org/officeDocument/2006/relationships" name="Atlas 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+0.0%;-0.0%;-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B0B8D1"/>
      <sz val="10"/>
    </font>
    <font>
      <name val="Arial"/>
      <b val="1"/>
      <color rgb="00FFFFFF"/>
      <sz val="9"/>
    </font>
    <font>
      <name val="Arial"/>
      <color rgb="00374151"/>
      <sz val="10"/>
    </font>
    <font>
      <name val="Arial"/>
      <b val="1"/>
      <color rgb="0092400E"/>
      <sz val="11"/>
    </font>
    <font>
      <name val="Arial"/>
      <color rgb="009CA3AF"/>
      <sz val="10"/>
    </font>
    <font>
      <name val="Arial"/>
      <i val="1"/>
      <color rgb="006B7280"/>
      <sz val="9"/>
    </font>
    <font>
      <name val="Arial"/>
      <b val="1"/>
      <color rgb="004C1D95"/>
      <sz val="10"/>
    </font>
    <font>
      <name val="Arial"/>
      <b val="1"/>
      <color rgb="004C1D95"/>
      <sz val="11"/>
    </font>
    <font>
      <name val="Arial"/>
      <b val="1"/>
      <color rgb="00065F46"/>
      <sz val="10"/>
    </font>
    <font>
      <name val="Arial"/>
      <b val="1"/>
      <color rgb="004C1D95"/>
      <sz val="9"/>
    </font>
    <font>
      <name val="Arial"/>
      <b val="1"/>
      <color rgb="00991B1B"/>
      <sz val="10"/>
    </font>
    <font>
      <name val="Arial"/>
      <b val="1"/>
      <color rgb="00065F46"/>
      <sz val="11"/>
    </font>
    <font>
      <name val="Arial"/>
      <i val="1"/>
      <color rgb="00374151"/>
      <sz val="9"/>
    </font>
    <font>
      <name val="Arial"/>
      <b val="1"/>
      <color rgb="00FFFFFF"/>
      <sz val="11"/>
    </font>
    <font>
      <name val="Arial"/>
      <color rgb="00991B1B"/>
      <sz val="10"/>
    </font>
    <font>
      <name val="Arial"/>
      <b val="1"/>
      <color rgb="00B0B8D1"/>
      <sz val="11"/>
    </font>
    <font>
      <name val="Arial"/>
      <b val="1"/>
      <color rgb="00FFFFFF"/>
      <sz val="10"/>
    </font>
    <font>
      <name val="Arial"/>
      <i val="1"/>
      <color rgb="0092400E"/>
      <sz val="9"/>
    </font>
    <font>
      <name val="Arial"/>
      <b val="1"/>
      <color rgb="00FFFFFF"/>
      <sz val="13"/>
    </font>
    <font>
      <name val="Arial"/>
      <b val="1"/>
      <color rgb="00374151"/>
      <sz val="10"/>
    </font>
    <font>
      <name val="Arial"/>
      <color rgb="0092400E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7C3AED"/>
      </patternFill>
    </fill>
    <fill>
      <patternFill patternType="solid">
        <fgColor rgb="00FFFBEB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5F5FA"/>
      </patternFill>
    </fill>
    <fill>
      <patternFill patternType="solid">
        <fgColor rgb="00FFFFFF"/>
      </patternFill>
    </fill>
    <fill>
      <patternFill patternType="solid">
        <fgColor rgb="00374151"/>
      </patternFill>
    </fill>
    <fill>
      <patternFill patternType="solid">
        <fgColor rgb="00FFF7ED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164" fontId="8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165" fontId="1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  <xf numFmtId="164" fontId="4" fillId="9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164" fontId="4" fillId="10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0" fontId="17" fillId="3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left" vertical="center" indent="1"/>
    </xf>
    <xf numFmtId="0" fontId="18" fillId="4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 wrapText="1" indent="1"/>
    </xf>
    <xf numFmtId="0" fontId="20" fillId="2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/>
    </xf>
    <xf numFmtId="0" fontId="22" fillId="12" borderId="1" applyAlignment="1" pivotButton="0" quotePrefix="0" xfId="0">
      <alignment horizontal="left" vertical="center" indent="1"/>
    </xf>
    <xf numFmtId="164" fontId="16" fillId="12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8" customWidth="1" min="5" max="5"/>
    <col width="14" customWidth="1" min="6" max="6"/>
    <col width="16" customWidth="1" min="7" max="7"/>
    <col width="22" customWidth="1" min="8" max="8"/>
  </cols>
  <sheetData>
    <row r="1" ht="28" customHeight="1">
      <c r="A1" s="1" t="inlineStr">
        <is>
          <t>SUSHI ZEN DUBAI — MANAGEMENT REVENUE SUMMARY</t>
        </is>
      </c>
    </row>
    <row r="2" ht="22" customHeight="1">
      <c r="A2" s="2" t="inlineStr">
        <is>
          <t>Dubai Operations  |  All Brands  |  All Aggregators &amp; Platforms</t>
        </is>
      </c>
    </row>
    <row r="3" ht="8" customHeight="1"/>
    <row r="4" ht="32" customHeight="1">
      <c r="A4" s="3" t="inlineStr">
        <is>
          <t>Month</t>
        </is>
      </c>
      <c r="B4" s="3" t="inlineStr">
        <is>
          <t>Gross Revenue (AED)</t>
        </is>
      </c>
      <c r="C4" s="3" t="inlineStr">
        <is>
          <t>Agg. Charges (AED)</t>
        </is>
      </c>
      <c r="D4" s="3" t="inlineStr">
        <is>
          <t>Discounts (AED)</t>
        </is>
      </c>
      <c r="E4" s="3" t="inlineStr">
        <is>
          <t>Net Revenue (AED)</t>
        </is>
      </c>
      <c r="F4" s="3" t="inlineStr">
        <is>
          <t>MoM</t>
        </is>
      </c>
      <c r="G4" s="3" t="inlineStr">
        <is>
          <t>Avg Net/Day (AED)</t>
        </is>
      </c>
      <c r="H4" s="3" t="inlineStr">
        <is>
          <t>Source</t>
        </is>
      </c>
    </row>
    <row r="5" ht="20" customHeight="1">
      <c r="A5" s="4" t="inlineStr">
        <is>
          <t>Oct 2025</t>
        </is>
      </c>
      <c r="B5" s="5" t="n"/>
      <c r="C5" s="5" t="n"/>
      <c r="D5" s="5" t="n"/>
      <c r="E5" s="6" t="n">
        <v>1052746</v>
      </c>
      <c r="F5" s="7" t="inlineStr">
        <is>
          <t>—</t>
        </is>
      </c>
      <c r="G5" s="5" t="n">
        <v>33960</v>
      </c>
      <c r="H5" s="8" t="inlineStr">
        <is>
          <t>UrbanPiper Atlas (implied)</t>
        </is>
      </c>
    </row>
    <row r="6" ht="20" customHeight="1">
      <c r="A6" s="9" t="inlineStr">
        <is>
          <t>Nov 2025</t>
        </is>
      </c>
      <c r="B6" s="10" t="n">
        <v>2490661</v>
      </c>
      <c r="C6" s="11" t="n">
        <v>97361</v>
      </c>
      <c r="D6" s="11" t="n">
        <v>851027</v>
      </c>
      <c r="E6" s="12" t="n">
        <v>1542273</v>
      </c>
      <c r="F6" s="13" t="n">
        <v>0.465</v>
      </c>
      <c r="G6" s="11" t="n">
        <v>51409</v>
      </c>
      <c r="H6" s="14" t="inlineStr">
        <is>
          <t>UrbanPiper Atlas ✓ VERIFIED</t>
        </is>
      </c>
    </row>
    <row r="7" ht="20" customHeight="1">
      <c r="A7" s="9" t="inlineStr">
        <is>
          <t>Dec 2025</t>
        </is>
      </c>
      <c r="B7" s="10" t="n">
        <v>2348874</v>
      </c>
      <c r="C7" s="11" t="n">
        <v>82513</v>
      </c>
      <c r="D7" s="11" t="n">
        <v>794362</v>
      </c>
      <c r="E7" s="12" t="n">
        <v>1471999</v>
      </c>
      <c r="F7" s="15" t="n">
        <v>-0.046</v>
      </c>
      <c r="G7" s="11" t="n">
        <v>47484</v>
      </c>
      <c r="H7" s="14" t="inlineStr">
        <is>
          <t>UrbanPiper Atlas ✓ VERIFIED</t>
        </is>
      </c>
    </row>
    <row r="8" ht="20" customHeight="1">
      <c r="A8" s="16" t="inlineStr">
        <is>
          <t>Jan 2026</t>
        </is>
      </c>
      <c r="B8" s="17" t="n"/>
      <c r="C8" s="17" t="n"/>
      <c r="D8" s="17" t="n"/>
      <c r="E8" s="18" t="n">
        <v>1780000</v>
      </c>
      <c r="F8" s="19" t="inlineStr">
        <is>
          <t>—</t>
        </is>
      </c>
      <c r="G8" s="17" t="n">
        <v>57419</v>
      </c>
      <c r="H8" s="20" t="inlineStr">
        <is>
          <t>DB (pos_revenue_location_daily)</t>
        </is>
      </c>
    </row>
    <row r="10" ht="10" customHeight="1"/>
    <row r="11" ht="22" customHeight="1">
      <c r="A11" s="21" t="inlineStr">
        <is>
          <t>DETAIL: November 2025 — UrbanPiper Atlas Verified</t>
        </is>
      </c>
    </row>
    <row r="12" ht="18" customHeight="1">
      <c r="A12" s="22" t="inlineStr">
        <is>
          <t>Gross Revenue (before adjustments)</t>
        </is>
      </c>
      <c r="B12" s="23" t="n"/>
      <c r="C12" s="23" t="n"/>
      <c r="D12" s="24" t="n"/>
      <c r="E12" s="25" t="n">
        <v>2490661</v>
      </c>
      <c r="F12" s="23" t="n"/>
      <c r="G12" s="23" t="n"/>
      <c r="H12" s="24" t="n"/>
    </row>
    <row r="13" ht="18" customHeight="1">
      <c r="A13" s="22" t="inlineStr">
        <is>
          <t xml:space="preserve">  Less: Aggregator Charges</t>
        </is>
      </c>
      <c r="B13" s="23" t="n"/>
      <c r="C13" s="23" t="n"/>
      <c r="D13" s="24" t="n"/>
      <c r="E13" s="26" t="n">
        <v>-97361</v>
      </c>
      <c r="F13" s="23" t="n"/>
      <c r="G13" s="23" t="n"/>
      <c r="H13" s="24" t="n"/>
    </row>
    <row r="14" ht="18" customHeight="1">
      <c r="A14" s="22" t="inlineStr">
        <is>
          <t xml:space="preserve">  Less: Discounts Applied</t>
        </is>
      </c>
      <c r="B14" s="23" t="n"/>
      <c r="C14" s="23" t="n"/>
      <c r="D14" s="24" t="n"/>
      <c r="E14" s="26" t="n">
        <v>-851027</v>
      </c>
      <c r="F14" s="23" t="n"/>
      <c r="G14" s="23" t="n"/>
      <c r="H14" s="24" t="n"/>
    </row>
    <row r="15" ht="18" customHeight="1">
      <c r="A15" s="9">
        <f> Net Revenue</f>
        <v/>
      </c>
      <c r="B15" s="23" t="n"/>
      <c r="C15" s="23" t="n"/>
      <c r="D15" s="24" t="n"/>
      <c r="E15" s="10" t="n">
        <v>1542273</v>
      </c>
      <c r="F15" s="23" t="n"/>
      <c r="G15" s="23" t="n"/>
      <c r="H15" s="24" t="n"/>
    </row>
    <row r="17" ht="10" customHeight="1"/>
    <row r="18" ht="22" customHeight="1">
      <c r="A18" s="21" t="inlineStr">
        <is>
          <t>DETAIL: December 2025 — UrbanPiper Atlas Verified</t>
        </is>
      </c>
    </row>
    <row r="19" ht="18" customHeight="1">
      <c r="A19" s="22" t="inlineStr">
        <is>
          <t>Gross Revenue (before adjustments)</t>
        </is>
      </c>
      <c r="B19" s="23" t="n"/>
      <c r="C19" s="23" t="n"/>
      <c r="D19" s="24" t="n"/>
      <c r="E19" s="25" t="n">
        <v>2348874</v>
      </c>
      <c r="F19" s="23" t="n"/>
      <c r="G19" s="23" t="n"/>
      <c r="H19" s="24" t="n"/>
    </row>
    <row r="20" ht="18" customHeight="1">
      <c r="A20" s="22" t="inlineStr">
        <is>
          <t xml:space="preserve">  Less: Aggregator Charges</t>
        </is>
      </c>
      <c r="B20" s="23" t="n"/>
      <c r="C20" s="23" t="n"/>
      <c r="D20" s="24" t="n"/>
      <c r="E20" s="26" t="n">
        <v>-82513</v>
      </c>
      <c r="F20" s="23" t="n"/>
      <c r="G20" s="23" t="n"/>
      <c r="H20" s="24" t="n"/>
    </row>
    <row r="21" ht="18" customHeight="1">
      <c r="A21" s="22" t="inlineStr">
        <is>
          <t xml:space="preserve">  Less: Discounts Applied</t>
        </is>
      </c>
      <c r="B21" s="23" t="n"/>
      <c r="C21" s="23" t="n"/>
      <c r="D21" s="24" t="n"/>
      <c r="E21" s="26" t="n">
        <v>-794362</v>
      </c>
      <c r="F21" s="23" t="n"/>
      <c r="G21" s="23" t="n"/>
      <c r="H21" s="24" t="n"/>
    </row>
    <row r="22" ht="18" customHeight="1">
      <c r="A22" s="9">
        <f> Net Revenue</f>
        <v/>
      </c>
      <c r="B22" s="23" t="n"/>
      <c r="C22" s="23" t="n"/>
      <c r="D22" s="24" t="n"/>
      <c r="E22" s="10" t="n">
        <v>1471999</v>
      </c>
      <c r="F22" s="23" t="n"/>
      <c r="G22" s="23" t="n"/>
      <c r="H22" s="24" t="n"/>
    </row>
    <row r="24" ht="10" customHeight="1"/>
    <row r="25" ht="22" customHeight="1">
      <c r="A25" s="27" t="inlineStr">
        <is>
          <t>Q4 2025 SUMMARY (Oct–Dec)  ·  Dubai All Brands</t>
        </is>
      </c>
    </row>
    <row r="26" ht="20" customHeight="1">
      <c r="A26" s="28" t="inlineStr">
        <is>
          <t>Month</t>
        </is>
      </c>
      <c r="B26" s="28" t="inlineStr">
        <is>
          <t>Gross Revenue</t>
        </is>
      </c>
      <c r="C26" s="28" t="inlineStr">
        <is>
          <t>Net Revenue</t>
        </is>
      </c>
      <c r="D26" s="28" t="inlineStr">
        <is>
          <t>Notes</t>
        </is>
      </c>
    </row>
    <row r="27" ht="18" customHeight="1">
      <c r="A27" s="4" t="inlineStr">
        <is>
          <t>October 2025</t>
        </is>
      </c>
      <c r="B27" s="29" t="inlineStr">
        <is>
          <t>~1,052,746</t>
        </is>
      </c>
      <c r="C27" s="29" t="inlineStr">
        <is>
          <t>~1,052,746</t>
        </is>
      </c>
      <c r="D27" s="4" t="inlineStr">
        <is>
          <t>Approx. (Atlas-implied from Nov MoM +46.5%)</t>
        </is>
      </c>
    </row>
    <row r="28" ht="18" customHeight="1">
      <c r="A28" s="30" t="inlineStr">
        <is>
          <t>November 2025</t>
        </is>
      </c>
      <c r="B28" s="31" t="inlineStr">
        <is>
          <t>2,490,661</t>
        </is>
      </c>
      <c r="C28" s="32" t="inlineStr">
        <is>
          <t>1,542,273</t>
        </is>
      </c>
      <c r="D28" s="30" t="inlineStr">
        <is>
          <t>UrbanPiper Atlas — VERIFIED</t>
        </is>
      </c>
    </row>
    <row r="29" ht="18" customHeight="1">
      <c r="A29" s="30" t="inlineStr">
        <is>
          <t>December 2025</t>
        </is>
      </c>
      <c r="B29" s="31" t="inlineStr">
        <is>
          <t>2,348,874</t>
        </is>
      </c>
      <c r="C29" s="32" t="inlineStr">
        <is>
          <t>1,471,999</t>
        </is>
      </c>
      <c r="D29" s="30" t="inlineStr">
        <is>
          <t>UrbanPiper Atlas — VERIFIED</t>
        </is>
      </c>
    </row>
    <row r="30" ht="20" customHeight="1">
      <c r="A30" s="33" t="inlineStr">
        <is>
          <t>Q4 2025 TOTAL</t>
        </is>
      </c>
      <c r="B30" s="34" t="inlineStr"/>
      <c r="C30" s="34" t="inlineStr">
        <is>
          <t>4,067,018</t>
        </is>
      </c>
      <c r="D30" s="33" t="inlineStr">
        <is>
          <t>Oct approx + Nov/Dec verified</t>
        </is>
      </c>
    </row>
    <row r="32" ht="42" customHeight="1">
      <c r="A32" s="35" t="inlineStr">
        <is>
          <t>⚠  Data note: Nov/Dec 2025 figures are sourced directly from UrbanPiper Atlas (RAMENZEN RESTA... account, All Locations, All Platforms) — these SUPERSEDE the DB values which captured only ~30-40% of actual revenue due to incomplete CSV exports in Google Drive. Jan 2026+ figures are from the system DB (pos_revenue_location_daily) and are complete.</t>
        </is>
      </c>
    </row>
  </sheetData>
  <mergeCells count="22">
    <mergeCell ref="A22:D22"/>
    <mergeCell ref="A20:D20"/>
    <mergeCell ref="A11:H11"/>
    <mergeCell ref="A19:D19"/>
    <mergeCell ref="A1:H1"/>
    <mergeCell ref="A13:D13"/>
    <mergeCell ref="E22:H22"/>
    <mergeCell ref="A25:H25"/>
    <mergeCell ref="E12:H12"/>
    <mergeCell ref="E21:H21"/>
    <mergeCell ref="A15:D15"/>
    <mergeCell ref="E14:H14"/>
    <mergeCell ref="A18:H18"/>
    <mergeCell ref="A2:H2"/>
    <mergeCell ref="E20:H20"/>
    <mergeCell ref="E19:H19"/>
    <mergeCell ref="A32:H32"/>
    <mergeCell ref="E13:H13"/>
    <mergeCell ref="A12:D12"/>
    <mergeCell ref="A21:D21"/>
    <mergeCell ref="E15:H1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6" customWidth="1" min="4" max="4"/>
  </cols>
  <sheetData>
    <row r="1" ht="28" customHeight="1">
      <c r="A1" s="36" t="inlineStr">
        <is>
          <t>UrbanPiper Atlas — Source Data Capture  (Nov &amp; Dec 2025)</t>
        </is>
      </c>
    </row>
    <row r="3" ht="22" customHeight="1">
      <c r="A3" s="21" t="inlineStr">
        <is>
          <t>November 2025</t>
        </is>
      </c>
    </row>
    <row r="4" ht="18" customHeight="1">
      <c r="A4" s="22" t="inlineStr">
        <is>
          <t>Gross Revenue</t>
        </is>
      </c>
      <c r="B4" s="25" t="n">
        <v>2490661</v>
      </c>
      <c r="C4" s="23" t="n"/>
      <c r="D4" s="24" t="n"/>
    </row>
    <row r="5" ht="18" customHeight="1">
      <c r="A5" s="22" t="inlineStr">
        <is>
          <t>Aggregator Charges</t>
        </is>
      </c>
      <c r="B5" s="25" t="n">
        <v>97361</v>
      </c>
      <c r="C5" s="23" t="n"/>
      <c r="D5" s="24" t="n"/>
    </row>
    <row r="6" ht="18" customHeight="1">
      <c r="A6" s="22" t="inlineStr">
        <is>
          <t>Taxes</t>
        </is>
      </c>
      <c r="B6" s="37" t="n">
        <v>0</v>
      </c>
      <c r="C6" s="23" t="n"/>
      <c r="D6" s="24" t="n"/>
    </row>
    <row r="7" ht="18" customHeight="1">
      <c r="A7" s="22" t="inlineStr">
        <is>
          <t>Discounts</t>
        </is>
      </c>
      <c r="B7" s="25" t="n">
        <v>851027</v>
      </c>
      <c r="C7" s="23" t="n"/>
      <c r="D7" s="24" t="n"/>
    </row>
    <row r="8" ht="18" customHeight="1">
      <c r="A8" s="38" t="inlineStr">
        <is>
          <t>Net Revenue</t>
        </is>
      </c>
      <c r="B8" s="10" t="n">
        <v>1542273</v>
      </c>
      <c r="C8" s="23" t="n"/>
      <c r="D8" s="24" t="n"/>
    </row>
    <row r="9" ht="18" customHeight="1">
      <c r="A9" s="22" t="inlineStr">
        <is>
          <t>MoM vs Oct 2025</t>
        </is>
      </c>
      <c r="B9" s="39" t="inlineStr">
        <is>
          <t>+46.5%</t>
        </is>
      </c>
      <c r="C9" s="23" t="n"/>
      <c r="D9" s="24" t="n"/>
    </row>
    <row r="10" ht="18" customHeight="1">
      <c r="A10" s="22" t="inlineStr">
        <is>
          <t>Source account</t>
        </is>
      </c>
      <c r="B10" s="39" t="inlineStr">
        <is>
          <t>RAMENZEN RESTA... (All Locations / All Platforms)</t>
        </is>
      </c>
      <c r="C10" s="23" t="n"/>
      <c r="D10" s="24" t="n"/>
    </row>
    <row r="11" ht="18" customHeight="1">
      <c r="A11" s="40" t="inlineStr">
        <is>
          <t>DB value (incorrect)</t>
        </is>
      </c>
      <c r="B11" s="41" t="n">
        <v>622402</v>
      </c>
      <c r="C11" s="23" t="n"/>
      <c r="D11" s="24" t="n"/>
    </row>
    <row r="12" ht="18" customHeight="1">
      <c r="A12" s="40" t="inlineStr">
        <is>
          <t>DB vs Atlas gap</t>
        </is>
      </c>
      <c r="B12" s="42" t="inlineStr">
        <is>
          <t>DB captured only ~40% of actual revenue</t>
        </is>
      </c>
      <c r="C12" s="23" t="n"/>
      <c r="D12" s="24" t="n"/>
    </row>
    <row r="14" ht="22" customHeight="1">
      <c r="A14" s="21" t="inlineStr">
        <is>
          <t>December 2025</t>
        </is>
      </c>
    </row>
    <row r="15" ht="18" customHeight="1">
      <c r="A15" s="22" t="inlineStr">
        <is>
          <t>Gross Revenue</t>
        </is>
      </c>
      <c r="B15" s="25" t="n">
        <v>2348874</v>
      </c>
      <c r="C15" s="23" t="n"/>
      <c r="D15" s="24" t="n"/>
    </row>
    <row r="16" ht="18" customHeight="1">
      <c r="A16" s="22" t="inlineStr">
        <is>
          <t>Aggregator Charges</t>
        </is>
      </c>
      <c r="B16" s="25" t="n">
        <v>82513</v>
      </c>
      <c r="C16" s="23" t="n"/>
      <c r="D16" s="24" t="n"/>
    </row>
    <row r="17" ht="18" customHeight="1">
      <c r="A17" s="22" t="inlineStr">
        <is>
          <t>Taxes</t>
        </is>
      </c>
      <c r="B17" s="37" t="n">
        <v>0</v>
      </c>
      <c r="C17" s="23" t="n"/>
      <c r="D17" s="24" t="n"/>
    </row>
    <row r="18" ht="18" customHeight="1">
      <c r="A18" s="22" t="inlineStr">
        <is>
          <t>Discounts</t>
        </is>
      </c>
      <c r="B18" s="25" t="n">
        <v>794362</v>
      </c>
      <c r="C18" s="23" t="n"/>
      <c r="D18" s="24" t="n"/>
    </row>
    <row r="19" ht="18" customHeight="1">
      <c r="A19" s="38" t="inlineStr">
        <is>
          <t>Net Revenue</t>
        </is>
      </c>
      <c r="B19" s="10" t="n">
        <v>1471999</v>
      </c>
      <c r="C19" s="23" t="n"/>
      <c r="D19" s="24" t="n"/>
    </row>
    <row r="20" ht="18" customHeight="1">
      <c r="A20" s="22" t="inlineStr">
        <is>
          <t>MoM vs Nov 2025</t>
        </is>
      </c>
      <c r="B20" s="39" t="inlineStr">
        <is>
          <t>-8.6% (Atlas) / -4.6% (computed)</t>
        </is>
      </c>
      <c r="C20" s="23" t="n"/>
      <c r="D20" s="24" t="n"/>
    </row>
    <row r="21" ht="18" customHeight="1">
      <c r="A21" s="22" t="inlineStr">
        <is>
          <t>Source account</t>
        </is>
      </c>
      <c r="B21" s="39" t="inlineStr">
        <is>
          <t>RAMENZEN RESTA... (All Locations / All Platforms)</t>
        </is>
      </c>
      <c r="C21" s="23" t="n"/>
      <c r="D21" s="24" t="n"/>
    </row>
    <row r="22" ht="18" customHeight="1">
      <c r="A22" s="40" t="inlineStr">
        <is>
          <t>DB value (incorrect)</t>
        </is>
      </c>
      <c r="B22" s="41" t="n">
        <v>443026</v>
      </c>
      <c r="C22" s="23" t="n"/>
      <c r="D22" s="24" t="n"/>
    </row>
    <row r="23" ht="18" customHeight="1">
      <c r="A23" s="40" t="inlineStr">
        <is>
          <t>DB vs Atlas gap</t>
        </is>
      </c>
      <c r="B23" s="42" t="inlineStr">
        <is>
          <t>DB captured only ~30% of actual revenue</t>
        </is>
      </c>
      <c r="C23" s="23" t="n"/>
      <c r="D23" s="24" t="n"/>
    </row>
  </sheetData>
  <mergeCells count="21">
    <mergeCell ref="B11:D11"/>
    <mergeCell ref="B23:D23"/>
    <mergeCell ref="B8:D8"/>
    <mergeCell ref="B17:D17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22:D22"/>
    <mergeCell ref="A3:D3"/>
    <mergeCell ref="B18:D18"/>
    <mergeCell ref="B21:D21"/>
    <mergeCell ref="B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2026-05-29T20:44:10Z</dcterms:created>
  <dcterms:modified xmlns:dcterms="http://purl.org/dc/terms/" xmlns:xsi="http://www.w3.org/2001/XMLSchema-instance" xsi:type="dcterms:W3CDTF">2026-05-29T20:44:10Z</dcterms:modified>
</cp:coreProperties>
</file>